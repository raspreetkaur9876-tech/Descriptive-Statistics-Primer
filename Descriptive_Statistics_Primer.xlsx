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spr\Downloads\"/>
    </mc:Choice>
  </mc:AlternateContent>
  <xr:revisionPtr revIDLastSave="0" documentId="13_ncr:1_{A9B6B7D4-7D3A-43AA-939F-EDBD35439029}" xr6:coauthVersionLast="47" xr6:coauthVersionMax="47" xr10:uidLastSave="{00000000-0000-0000-0000-000000000000}"/>
  <bookViews>
    <workbookView xWindow="11424" yWindow="0" windowWidth="11712" windowHeight="13056" firstSheet="1" activeTab="1" xr2:uid="{00000000-000D-0000-FFFF-FFFF00000000}"/>
  </bookViews>
  <sheets>
    <sheet name="Data" sheetId="1" r:id="rId1"/>
    <sheet name="Summary Statistics" sheetId="2" r:id="rId2"/>
    <sheet name="Interpretation" sheetId="3" r:id="rId3"/>
    <sheet name="Start Her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2" l="1"/>
  <c r="F9" i="2"/>
  <c r="F7" i="2"/>
  <c r="F6" i="2"/>
  <c r="E10" i="2"/>
  <c r="E9" i="2"/>
  <c r="E7" i="2"/>
  <c r="E6" i="2"/>
  <c r="D11" i="2"/>
  <c r="D10" i="2"/>
  <c r="D9" i="2"/>
  <c r="D8" i="2"/>
  <c r="D7" i="2"/>
  <c r="D6" i="2"/>
  <c r="C10" i="2"/>
  <c r="C9" i="2"/>
  <c r="C6" i="2"/>
  <c r="C7" i="2"/>
  <c r="C8" i="2"/>
  <c r="B10" i="2"/>
  <c r="B9" i="2"/>
  <c r="B8" i="2"/>
  <c r="B7" i="2"/>
  <c r="B6" i="2"/>
  <c r="F11" i="2"/>
  <c r="E11" i="2"/>
  <c r="C11" i="2"/>
  <c r="B11" i="2"/>
  <c r="F8" i="2"/>
  <c r="E8" i="2"/>
  <c r="F5" i="2"/>
  <c r="E5" i="2"/>
  <c r="D5" i="2"/>
  <c r="C5" i="2"/>
  <c r="B5" i="2"/>
  <c r="F4" i="2"/>
  <c r="E4" i="2"/>
  <c r="D4" i="2"/>
  <c r="C4" i="2"/>
  <c r="B4" i="2"/>
  <c r="F3" i="2"/>
  <c r="E3" i="2"/>
  <c r="D3" i="2"/>
  <c r="C3" i="2"/>
  <c r="B3" i="2"/>
</calcChain>
</file>

<file path=xl/sharedStrings.xml><?xml version="1.0" encoding="utf-8"?>
<sst xmlns="http://schemas.openxmlformats.org/spreadsheetml/2006/main" count="49" uniqueCount="43">
  <si>
    <t>Age</t>
  </si>
  <si>
    <t>Fare</t>
  </si>
  <si>
    <t>Survived</t>
  </si>
  <si>
    <t>SibSp</t>
  </si>
  <si>
    <t>Parch</t>
  </si>
  <si>
    <t>Descriptive Statistics Primer — Summary Table</t>
  </si>
  <si>
    <t>Statistic</t>
  </si>
  <si>
    <t>Count</t>
  </si>
  <si>
    <t>Mean</t>
  </si>
  <si>
    <t>Median</t>
  </si>
  <si>
    <t>Mode</t>
  </si>
  <si>
    <t>Standard Deviation (sample)</t>
  </si>
  <si>
    <t>Minimum</t>
  </si>
  <si>
    <t>25th Percentile (Q1)</t>
  </si>
  <si>
    <t>75th Percentile (Q3)</t>
  </si>
  <si>
    <t>Maximum</t>
  </si>
  <si>
    <t>Short Write-up: What the Numbers Reveal</t>
  </si>
  <si>
    <t>Descriptive Statistics Primer</t>
  </si>
  <si>
    <t>What to do</t>
  </si>
  <si>
    <t>Instructions</t>
  </si>
  <si>
    <t>1</t>
  </si>
  <si>
    <t>Open the Data sheet and review the five numerical columns.</t>
  </si>
  <si>
    <t>2</t>
  </si>
  <si>
    <t>Open Summary Statistics. Excel formulas calculate count, mean, median, mode, sample standard deviation, minimum, Q1, Q3, and maximum.</t>
  </si>
  <si>
    <t>3</t>
  </si>
  <si>
    <t>Read the Interpretation sheet for simple explanations of skew and spread.</t>
  </si>
  <si>
    <t>4</t>
  </si>
  <si>
    <t>For your final submission, replace the practice rows in Data with the complete official Titanic dataset.</t>
  </si>
  <si>
    <t>1. Purpose</t>
  </si>
  <si>
    <t>The purpose of this project is to understand numerical data using descriptive statistics. We calculate the mean, median, mode, standard deviation, and percentiles to understand the data more clearly.</t>
  </si>
  <si>
    <t>2. Mean vs. Median</t>
  </si>
  <si>
    <t>The mean gives the average value, while the median gives the middle value. In our dataset, the average fare is 20.42 and the median fare is 14.50. Since the mean is higher than the median, some higher ticket fares may be pulling the average upward.</t>
  </si>
  <si>
    <t>3. Standard Deviation</t>
  </si>
  <si>
    <t>Standard deviation tells us how much the values differ from the mean. A higher standard deviation indicates that the values are more spread out, while a lower standard deviation indicates that they are closer to the average.</t>
  </si>
  <si>
    <t>4. Percentiles and the Middle 50%</t>
  </si>
  <si>
    <t>The 25th percentile (Q1) and the 75th percentile (Q3) help us understand the middle 50% of the data. The difference between Q3 and Q1 is called the interquartile range (IQR).</t>
  </si>
  <si>
    <t>5. Age Distribution</t>
  </si>
  <si>
    <t>6. Survival Analysis</t>
  </si>
  <si>
    <t>The mean of the Survived column is 0.53. This means that 53% of the 30 records in our practice dataset have a survival value of 1.</t>
  </si>
  <si>
    <t>7. Conclusion</t>
  </si>
  <si>
    <r>
      <t>Note:</t>
    </r>
    <r>
      <rPr>
        <sz val="11"/>
        <color theme="1"/>
        <rFont val="Calibri"/>
        <family val="2"/>
        <scheme val="minor"/>
      </rPr>
      <t xml:space="preserve"> The current analysis uses 30 practice records for learning Excel formulas. The complete Titanic dataset should be used for the final dataset-based analysis.</t>
    </r>
  </si>
  <si>
    <t>Middle 50%</t>
  </si>
  <si>
    <t>The average age is 28.67 years, and the median age is 28.50 years. Since these values are close, the ages in our sample are reasonably balanced around the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</si>
</sst>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6"/>
      <color rgb="FFFFFFFF"/>
      <name val="Calibri"/>
    </font>
    <font>
      <b/>
      <sz val="18"/>
      <color rgb="FFFFFFFF"/>
      <name val="Calibri"/>
    </font>
    <font>
      <b/>
      <sz val="11"/>
      <color theme="1"/>
      <name val="Calibri"/>
      <family val="2"/>
      <scheme val="minor"/>
    </font>
    <font>
      <b/>
      <sz val="24"/>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rgb="FF1F4E78"/>
      </patternFill>
    </fill>
    <fill>
      <patternFill patternType="solid">
        <fgColor rgb="FF4472C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xf>
    <xf numFmtId="0" fontId="1" fillId="3" borderId="0" xfId="0" applyFont="1" applyFill="1"/>
    <xf numFmtId="2" fontId="0" fillId="0" borderId="0" xfId="0" applyNumberFormat="1"/>
    <xf numFmtId="0" fontId="0" fillId="0" borderId="0" xfId="0" applyAlignment="1">
      <alignment vertical="top" wrapText="1"/>
    </xf>
    <xf numFmtId="0" fontId="2" fillId="2" borderId="0" xfId="0" applyFont="1" applyFill="1" applyAlignment="1">
      <alignment horizontal="center"/>
    </xf>
    <xf numFmtId="0" fontId="0" fillId="0" borderId="0" xfId="0"/>
    <xf numFmtId="0" fontId="2" fillId="2" borderId="0" xfId="0" applyFont="1" applyFill="1"/>
    <xf numFmtId="0" fontId="3" fillId="2" borderId="0" xfId="0" applyFont="1" applyFill="1"/>
    <xf numFmtId="2" fontId="4" fillId="0" borderId="0" xfId="0" applyNumberFormat="1" applyFont="1"/>
    <xf numFmtId="0" fontId="4" fillId="0" borderId="0" xfId="0" applyFont="1"/>
    <xf numFmtId="0" fontId="5" fillId="0" borderId="0" xfId="0" applyFont="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acticeData" displayName="PracticeData" ref="A1:E31">
  <autoFilter ref="A1:E31" xr:uid="{00000000-0009-0000-0100-000001000000}"/>
  <tableColumns count="5">
    <tableColumn id="1" xr3:uid="{00000000-0010-0000-0000-000001000000}" name="Age"/>
    <tableColumn id="2" xr3:uid="{00000000-0010-0000-0000-000002000000}" name="Fare"/>
    <tableColumn id="3" xr3:uid="{00000000-0010-0000-0000-000003000000}" name="Survived"/>
    <tableColumn id="4" xr3:uid="{00000000-0010-0000-0000-000004000000}" name="SibSp"/>
    <tableColumn id="5" xr3:uid="{00000000-0010-0000-0000-000005000000}" name="Par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pane ySplit="1" topLeftCell="A2" activePane="bottomLeft" state="frozen"/>
      <selection pane="bottomLeft"/>
    </sheetView>
  </sheetViews>
  <sheetFormatPr defaultRowHeight="14.4" x14ac:dyDescent="0.3"/>
  <cols>
    <col min="1" max="5" width="14" customWidth="1"/>
  </cols>
  <sheetData>
    <row r="1" spans="1:5" x14ac:dyDescent="0.3">
      <c r="A1" s="1" t="s">
        <v>0</v>
      </c>
      <c r="B1" s="1" t="s">
        <v>1</v>
      </c>
      <c r="C1" s="1" t="s">
        <v>2</v>
      </c>
      <c r="D1" s="1" t="s">
        <v>3</v>
      </c>
      <c r="E1" s="1" t="s">
        <v>4</v>
      </c>
    </row>
    <row r="2" spans="1:5" x14ac:dyDescent="0.3">
      <c r="A2">
        <v>22</v>
      </c>
      <c r="B2">
        <v>7.25</v>
      </c>
      <c r="C2">
        <v>0</v>
      </c>
      <c r="D2">
        <v>1</v>
      </c>
      <c r="E2">
        <v>0</v>
      </c>
    </row>
    <row r="3" spans="1:5" x14ac:dyDescent="0.3">
      <c r="A3">
        <v>38</v>
      </c>
      <c r="B3">
        <v>71.28</v>
      </c>
      <c r="C3">
        <v>1</v>
      </c>
      <c r="D3">
        <v>1</v>
      </c>
      <c r="E3">
        <v>0</v>
      </c>
    </row>
    <row r="4" spans="1:5" x14ac:dyDescent="0.3">
      <c r="A4">
        <v>26</v>
      </c>
      <c r="B4">
        <v>7.93</v>
      </c>
      <c r="C4">
        <v>1</v>
      </c>
      <c r="D4">
        <v>0</v>
      </c>
      <c r="E4">
        <v>0</v>
      </c>
    </row>
    <row r="5" spans="1:5" x14ac:dyDescent="0.3">
      <c r="A5">
        <v>35</v>
      </c>
      <c r="B5">
        <v>53.1</v>
      </c>
      <c r="C5">
        <v>1</v>
      </c>
      <c r="D5">
        <v>1</v>
      </c>
      <c r="E5">
        <v>0</v>
      </c>
    </row>
    <row r="6" spans="1:5" x14ac:dyDescent="0.3">
      <c r="A6">
        <v>35</v>
      </c>
      <c r="B6">
        <v>8.0500000000000007</v>
      </c>
      <c r="C6">
        <v>0</v>
      </c>
      <c r="D6">
        <v>0</v>
      </c>
      <c r="E6">
        <v>0</v>
      </c>
    </row>
    <row r="7" spans="1:5" x14ac:dyDescent="0.3">
      <c r="A7">
        <v>28</v>
      </c>
      <c r="B7">
        <v>8.4600000000000009</v>
      </c>
      <c r="C7">
        <v>0</v>
      </c>
      <c r="D7">
        <v>0</v>
      </c>
      <c r="E7">
        <v>0</v>
      </c>
    </row>
    <row r="8" spans="1:5" x14ac:dyDescent="0.3">
      <c r="A8">
        <v>54</v>
      </c>
      <c r="B8">
        <v>51.86</v>
      </c>
      <c r="C8">
        <v>0</v>
      </c>
      <c r="D8">
        <v>0</v>
      </c>
      <c r="E8">
        <v>0</v>
      </c>
    </row>
    <row r="9" spans="1:5" x14ac:dyDescent="0.3">
      <c r="A9">
        <v>2</v>
      </c>
      <c r="B9">
        <v>21.08</v>
      </c>
      <c r="C9">
        <v>1</v>
      </c>
      <c r="D9">
        <v>1</v>
      </c>
      <c r="E9">
        <v>2</v>
      </c>
    </row>
    <row r="10" spans="1:5" x14ac:dyDescent="0.3">
      <c r="A10">
        <v>27</v>
      </c>
      <c r="B10">
        <v>11.13</v>
      </c>
      <c r="C10">
        <v>1</v>
      </c>
      <c r="D10">
        <v>0</v>
      </c>
      <c r="E10">
        <v>1</v>
      </c>
    </row>
    <row r="11" spans="1:5" x14ac:dyDescent="0.3">
      <c r="A11">
        <v>14</v>
      </c>
      <c r="B11">
        <v>30.07</v>
      </c>
      <c r="C11">
        <v>1</v>
      </c>
      <c r="D11">
        <v>1</v>
      </c>
      <c r="E11">
        <v>0</v>
      </c>
    </row>
    <row r="12" spans="1:5" x14ac:dyDescent="0.3">
      <c r="A12">
        <v>4</v>
      </c>
      <c r="B12">
        <v>16.7</v>
      </c>
      <c r="C12">
        <v>1</v>
      </c>
      <c r="D12">
        <v>1</v>
      </c>
      <c r="E12">
        <v>1</v>
      </c>
    </row>
    <row r="13" spans="1:5" x14ac:dyDescent="0.3">
      <c r="A13">
        <v>58</v>
      </c>
      <c r="B13">
        <v>26.55</v>
      </c>
      <c r="C13">
        <v>1</v>
      </c>
      <c r="D13">
        <v>0</v>
      </c>
      <c r="E13">
        <v>0</v>
      </c>
    </row>
    <row r="14" spans="1:5" x14ac:dyDescent="0.3">
      <c r="A14">
        <v>20</v>
      </c>
      <c r="B14">
        <v>8.0500000000000007</v>
      </c>
      <c r="C14">
        <v>0</v>
      </c>
      <c r="D14">
        <v>0</v>
      </c>
      <c r="E14">
        <v>0</v>
      </c>
    </row>
    <row r="15" spans="1:5" x14ac:dyDescent="0.3">
      <c r="A15">
        <v>39</v>
      </c>
      <c r="B15">
        <v>31.28</v>
      </c>
      <c r="C15">
        <v>0</v>
      </c>
      <c r="D15">
        <v>1</v>
      </c>
      <c r="E15">
        <v>5</v>
      </c>
    </row>
    <row r="16" spans="1:5" x14ac:dyDescent="0.3">
      <c r="A16">
        <v>14</v>
      </c>
      <c r="B16">
        <v>7.85</v>
      </c>
      <c r="C16">
        <v>0</v>
      </c>
      <c r="D16">
        <v>0</v>
      </c>
      <c r="E16">
        <v>0</v>
      </c>
    </row>
    <row r="17" spans="1:5" x14ac:dyDescent="0.3">
      <c r="A17">
        <v>55</v>
      </c>
      <c r="B17">
        <v>16</v>
      </c>
      <c r="C17">
        <v>1</v>
      </c>
      <c r="D17">
        <v>0</v>
      </c>
      <c r="E17">
        <v>0</v>
      </c>
    </row>
    <row r="18" spans="1:5" x14ac:dyDescent="0.3">
      <c r="A18">
        <v>2</v>
      </c>
      <c r="B18">
        <v>29.13</v>
      </c>
      <c r="C18">
        <v>1</v>
      </c>
      <c r="D18">
        <v>4</v>
      </c>
      <c r="E18">
        <v>1</v>
      </c>
    </row>
    <row r="19" spans="1:5" x14ac:dyDescent="0.3">
      <c r="A19">
        <v>31</v>
      </c>
      <c r="B19">
        <v>18</v>
      </c>
      <c r="C19">
        <v>0</v>
      </c>
      <c r="D19">
        <v>1</v>
      </c>
      <c r="E19">
        <v>0</v>
      </c>
    </row>
    <row r="20" spans="1:5" x14ac:dyDescent="0.3">
      <c r="A20">
        <v>30</v>
      </c>
      <c r="B20">
        <v>7.23</v>
      </c>
      <c r="C20">
        <v>1</v>
      </c>
      <c r="D20">
        <v>0</v>
      </c>
      <c r="E20">
        <v>0</v>
      </c>
    </row>
    <row r="21" spans="1:5" x14ac:dyDescent="0.3">
      <c r="A21">
        <v>24</v>
      </c>
      <c r="B21">
        <v>13</v>
      </c>
      <c r="C21">
        <v>0</v>
      </c>
      <c r="D21">
        <v>0</v>
      </c>
      <c r="E21">
        <v>0</v>
      </c>
    </row>
    <row r="22" spans="1:5" x14ac:dyDescent="0.3">
      <c r="A22">
        <v>40</v>
      </c>
      <c r="B22">
        <v>27.9</v>
      </c>
      <c r="C22">
        <v>1</v>
      </c>
      <c r="D22">
        <v>1</v>
      </c>
      <c r="E22">
        <v>1</v>
      </c>
    </row>
    <row r="23" spans="1:5" x14ac:dyDescent="0.3">
      <c r="A23">
        <v>32</v>
      </c>
      <c r="B23">
        <v>7.93</v>
      </c>
      <c r="C23">
        <v>0</v>
      </c>
      <c r="D23">
        <v>0</v>
      </c>
      <c r="E23">
        <v>0</v>
      </c>
    </row>
    <row r="24" spans="1:5" x14ac:dyDescent="0.3">
      <c r="A24">
        <v>19</v>
      </c>
      <c r="B24">
        <v>8.0500000000000007</v>
      </c>
      <c r="C24">
        <v>1</v>
      </c>
      <c r="D24">
        <v>0</v>
      </c>
      <c r="E24">
        <v>0</v>
      </c>
    </row>
    <row r="25" spans="1:5" x14ac:dyDescent="0.3">
      <c r="A25">
        <v>29</v>
      </c>
      <c r="B25">
        <v>10.5</v>
      </c>
      <c r="C25">
        <v>0</v>
      </c>
      <c r="D25">
        <v>0</v>
      </c>
      <c r="E25">
        <v>0</v>
      </c>
    </row>
    <row r="26" spans="1:5" x14ac:dyDescent="0.3">
      <c r="A26">
        <v>45</v>
      </c>
      <c r="B26">
        <v>26</v>
      </c>
      <c r="C26">
        <v>1</v>
      </c>
      <c r="D26">
        <v>0</v>
      </c>
      <c r="E26">
        <v>0</v>
      </c>
    </row>
    <row r="27" spans="1:5" x14ac:dyDescent="0.3">
      <c r="A27">
        <v>8</v>
      </c>
      <c r="B27">
        <v>21.08</v>
      </c>
      <c r="C27">
        <v>1</v>
      </c>
      <c r="D27">
        <v>1</v>
      </c>
      <c r="E27">
        <v>2</v>
      </c>
    </row>
    <row r="28" spans="1:5" x14ac:dyDescent="0.3">
      <c r="A28">
        <v>36</v>
      </c>
      <c r="B28">
        <v>12.35</v>
      </c>
      <c r="C28">
        <v>0</v>
      </c>
      <c r="D28">
        <v>0</v>
      </c>
      <c r="E28">
        <v>0</v>
      </c>
    </row>
    <row r="29" spans="1:5" x14ac:dyDescent="0.3">
      <c r="A29">
        <v>25</v>
      </c>
      <c r="B29">
        <v>7.9</v>
      </c>
      <c r="C29">
        <v>0</v>
      </c>
      <c r="D29">
        <v>0</v>
      </c>
      <c r="E29">
        <v>0</v>
      </c>
    </row>
    <row r="30" spans="1:5" x14ac:dyDescent="0.3">
      <c r="A30">
        <v>50</v>
      </c>
      <c r="B30">
        <v>39</v>
      </c>
      <c r="C30">
        <v>1</v>
      </c>
      <c r="D30">
        <v>1</v>
      </c>
      <c r="E30">
        <v>0</v>
      </c>
    </row>
    <row r="31" spans="1:5" x14ac:dyDescent="0.3">
      <c r="A31">
        <v>18</v>
      </c>
      <c r="B31">
        <v>7.75</v>
      </c>
      <c r="C31">
        <v>0</v>
      </c>
      <c r="D31">
        <v>0</v>
      </c>
      <c r="E31">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zoomScale="52" workbookViewId="0">
      <pane xSplit="1" ySplit="2" topLeftCell="B3" activePane="bottomRight" state="frozen"/>
      <selection pane="topRight"/>
      <selection pane="bottomLeft"/>
      <selection pane="bottomRight" activeCell="C22" sqref="C22"/>
    </sheetView>
  </sheetViews>
  <sheetFormatPr defaultRowHeight="14.4" x14ac:dyDescent="0.3"/>
  <cols>
    <col min="1" max="1" width="34" customWidth="1"/>
    <col min="2" max="6" width="16" customWidth="1"/>
  </cols>
  <sheetData>
    <row r="1" spans="1:6" ht="21" x14ac:dyDescent="0.4">
      <c r="A1" s="5" t="s">
        <v>5</v>
      </c>
      <c r="B1" s="6"/>
      <c r="C1" s="6"/>
      <c r="D1" s="6"/>
      <c r="E1" s="6"/>
      <c r="F1" s="6"/>
    </row>
    <row r="2" spans="1:6" x14ac:dyDescent="0.3">
      <c r="A2" s="2" t="s">
        <v>6</v>
      </c>
      <c r="B2" s="2" t="s">
        <v>0</v>
      </c>
      <c r="C2" s="2" t="s">
        <v>1</v>
      </c>
      <c r="D2" s="2" t="s">
        <v>2</v>
      </c>
      <c r="E2" s="2" t="s">
        <v>3</v>
      </c>
      <c r="F2" s="2" t="s">
        <v>4</v>
      </c>
    </row>
    <row r="3" spans="1:6" x14ac:dyDescent="0.3">
      <c r="A3" t="s">
        <v>7</v>
      </c>
      <c r="B3" s="3">
        <f>COUNT(Data!$A$2:$A$31)</f>
        <v>30</v>
      </c>
      <c r="C3" s="3">
        <f>COUNT(Data!$B$2:$B$31)</f>
        <v>30</v>
      </c>
      <c r="D3" s="3">
        <f>COUNT(Data!$C$2:$C$31)</f>
        <v>30</v>
      </c>
      <c r="E3" s="3">
        <f>COUNT(Data!$D$2:$D$31)</f>
        <v>30</v>
      </c>
      <c r="F3" s="3">
        <f>COUNT(Data!$E$2:$E$31)</f>
        <v>30</v>
      </c>
    </row>
    <row r="4" spans="1:6" x14ac:dyDescent="0.3">
      <c r="A4" t="s">
        <v>8</v>
      </c>
      <c r="B4" s="3">
        <f>AVERAGE(Data!$A$2:$A$31)</f>
        <v>28.666666666666668</v>
      </c>
      <c r="C4" s="3">
        <f>AVERAGE(Data!$B$2:$B$31)</f>
        <v>20.415333333333333</v>
      </c>
      <c r="D4" s="3">
        <f>AVERAGE(Data!$C$2:$C$31)</f>
        <v>0.53333333333333333</v>
      </c>
      <c r="E4" s="3">
        <f>AVERAGE(Data!$D$2:$D$31)</f>
        <v>0.5</v>
      </c>
      <c r="F4" s="3">
        <f>AVERAGE(Data!$E$2:$E$31)</f>
        <v>0.43333333333333335</v>
      </c>
    </row>
    <row r="5" spans="1:6" x14ac:dyDescent="0.3">
      <c r="A5" t="s">
        <v>9</v>
      </c>
      <c r="B5" s="3">
        <f>MEDIAN(Data!$A$2:$A$31)</f>
        <v>28.5</v>
      </c>
      <c r="C5" s="3">
        <f>MEDIAN(Data!$B$2:$B$31)</f>
        <v>14.5</v>
      </c>
      <c r="D5" s="3">
        <f>MEDIAN(Data!$C$2:$C$31)</f>
        <v>1</v>
      </c>
      <c r="E5" s="3">
        <f>MEDIAN(Data!$D$2:$D$31)</f>
        <v>0</v>
      </c>
      <c r="F5" s="3">
        <f>MEDIAN(Data!$E$2:$E$31)</f>
        <v>0</v>
      </c>
    </row>
    <row r="6" spans="1:6" x14ac:dyDescent="0.3">
      <c r="A6" t="s">
        <v>10</v>
      </c>
      <c r="B6" s="9">
        <f>MODE(Data!A2:A31)</f>
        <v>35</v>
      </c>
      <c r="C6" s="3">
        <f>MODE(Data!B2:B31)</f>
        <v>8.0500000000000007</v>
      </c>
      <c r="D6" s="3">
        <f>MODE(Data!C2:C31)</f>
        <v>1</v>
      </c>
      <c r="E6">
        <f>MODE(Data!D2:D31)</f>
        <v>0</v>
      </c>
      <c r="F6" s="3">
        <f>MODE(Data!E2:E31)</f>
        <v>0</v>
      </c>
    </row>
    <row r="7" spans="1:6" x14ac:dyDescent="0.3">
      <c r="A7" t="s">
        <v>11</v>
      </c>
      <c r="B7" s="3">
        <f>STDEV(Data!A2:A31)</f>
        <v>15.146032445844515</v>
      </c>
      <c r="C7" s="3">
        <f>STDEV(Data!B2:B31)</f>
        <v>16.062160659683094</v>
      </c>
      <c r="D7" s="3">
        <f>STDEV(Data!C2:C31)</f>
        <v>0.50741626340492485</v>
      </c>
      <c r="E7">
        <f>STDEV(Data!D2:D31)</f>
        <v>0.82000841038580108</v>
      </c>
      <c r="F7" s="3">
        <f>STDEV(Data!E2:E31)</f>
        <v>1.0400044208570938</v>
      </c>
    </row>
    <row r="8" spans="1:6" x14ac:dyDescent="0.3">
      <c r="A8" t="s">
        <v>12</v>
      </c>
      <c r="B8" s="3">
        <f>MIN(Data!A2:A31)</f>
        <v>2</v>
      </c>
      <c r="C8" s="3">
        <f>MIN(Data!B2:B31)</f>
        <v>7.23</v>
      </c>
      <c r="D8" s="3">
        <f>MIN(Data!$C$2:$C$31)</f>
        <v>0</v>
      </c>
      <c r="E8" s="3">
        <f>MIN(Data!$D$2:$D$31)</f>
        <v>0</v>
      </c>
      <c r="F8" s="3">
        <f>MIN(Data!$E$2:$E$31)</f>
        <v>0</v>
      </c>
    </row>
    <row r="9" spans="1:6" x14ac:dyDescent="0.3">
      <c r="A9" t="s">
        <v>13</v>
      </c>
      <c r="B9" s="3">
        <f>QUARTILE(Data!A2:A31,1)</f>
        <v>19.25</v>
      </c>
      <c r="C9">
        <f>QUARTILE(Data!B2:B31,1)</f>
        <v>8.0500000000000007</v>
      </c>
      <c r="D9" s="3">
        <f>QUARTILE(Data!C2:C31,1)</f>
        <v>0</v>
      </c>
      <c r="E9">
        <f>QUARTILE(Data!D2:D31,1)</f>
        <v>0</v>
      </c>
      <c r="F9" s="3">
        <f>QUARTILE(Data!E2:E31,1)</f>
        <v>0</v>
      </c>
    </row>
    <row r="10" spans="1:6" x14ac:dyDescent="0.3">
      <c r="A10" t="s">
        <v>14</v>
      </c>
      <c r="B10" s="3">
        <f>QUARTILE(Data!A2:A31,3)</f>
        <v>37.5</v>
      </c>
      <c r="C10" s="3">
        <f>QUARTILE(Data!B2:B31,3)</f>
        <v>27.5625</v>
      </c>
      <c r="D10" s="3">
        <f>QUARTILE(Data!C2:C31,3)</f>
        <v>1</v>
      </c>
      <c r="E10">
        <f>QUARTILE(Data!D2:D31,3)</f>
        <v>1</v>
      </c>
      <c r="F10" s="3">
        <f>QUARTILE(Data!E2:E31,3)</f>
        <v>0</v>
      </c>
    </row>
    <row r="11" spans="1:6" x14ac:dyDescent="0.3">
      <c r="A11" t="s">
        <v>15</v>
      </c>
      <c r="B11" s="3">
        <f>MAX(Data!$A$2:$A$31)</f>
        <v>58</v>
      </c>
      <c r="C11" s="9">
        <f>MAX(Data!$B$2:$B$31)</f>
        <v>71.28</v>
      </c>
      <c r="D11" s="3">
        <f>MAX(Data!C2:C31)</f>
        <v>1</v>
      </c>
      <c r="E11" s="3">
        <f>MAX(Data!$D$2:$D$31)</f>
        <v>4</v>
      </c>
      <c r="F11" s="3">
        <f>MAX(Data!$E$2:$E$31)</f>
        <v>5</v>
      </c>
    </row>
    <row r="18" spans="3:3" x14ac:dyDescent="0.3">
      <c r="C18" s="10"/>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topLeftCell="A9" zoomScale="109" workbookViewId="0">
      <selection activeCell="A23" sqref="A23"/>
    </sheetView>
  </sheetViews>
  <sheetFormatPr defaultRowHeight="14.4" x14ac:dyDescent="0.3"/>
  <cols>
    <col min="1" max="1" width="25" customWidth="1"/>
    <col min="2" max="2" width="105" customWidth="1"/>
  </cols>
  <sheetData>
    <row r="1" spans="1:2" ht="21" x14ac:dyDescent="0.4">
      <c r="A1" s="7"/>
      <c r="B1" s="6"/>
    </row>
    <row r="2" spans="1:2" ht="31.2" x14ac:dyDescent="0.3">
      <c r="A2" s="11" t="s">
        <v>17</v>
      </c>
    </row>
    <row r="3" spans="1:2" ht="48" customHeight="1" x14ac:dyDescent="0.3">
      <c r="B3" s="4"/>
    </row>
    <row r="4" spans="1:2" ht="48" customHeight="1" x14ac:dyDescent="0.3">
      <c r="A4" s="12" t="s">
        <v>16</v>
      </c>
      <c r="B4" s="4"/>
    </row>
    <row r="5" spans="1:2" ht="48" customHeight="1" x14ac:dyDescent="0.3">
      <c r="B5" s="4"/>
    </row>
    <row r="6" spans="1:2" ht="48" customHeight="1" x14ac:dyDescent="0.3">
      <c r="A6" s="10" t="s">
        <v>28</v>
      </c>
      <c r="B6" t="s">
        <v>29</v>
      </c>
    </row>
    <row r="7" spans="1:2" ht="48" customHeight="1" x14ac:dyDescent="0.3">
      <c r="B7" s="4"/>
    </row>
    <row r="10" spans="1:2" x14ac:dyDescent="0.3">
      <c r="A10" s="10" t="s">
        <v>30</v>
      </c>
      <c r="B10" t="s">
        <v>31</v>
      </c>
    </row>
    <row r="14" spans="1:2" x14ac:dyDescent="0.3">
      <c r="A14" s="10" t="s">
        <v>32</v>
      </c>
      <c r="B14" t="s">
        <v>33</v>
      </c>
    </row>
    <row r="18" spans="1:2" x14ac:dyDescent="0.3">
      <c r="A18" s="10" t="s">
        <v>34</v>
      </c>
      <c r="B18" t="s">
        <v>35</v>
      </c>
    </row>
    <row r="19" spans="1:2" s="10" customFormat="1" x14ac:dyDescent="0.3">
      <c r="A19" s="10" t="s">
        <v>41</v>
      </c>
    </row>
    <row r="22" spans="1:2" x14ac:dyDescent="0.3">
      <c r="A22" s="10" t="s">
        <v>36</v>
      </c>
      <c r="B22" t="s">
        <v>42</v>
      </c>
    </row>
    <row r="26" spans="1:2" x14ac:dyDescent="0.3">
      <c r="A26" s="10" t="s">
        <v>37</v>
      </c>
      <c r="B26" t="s">
        <v>38</v>
      </c>
    </row>
    <row r="30" spans="1:2" x14ac:dyDescent="0.3">
      <c r="A30" s="10" t="s">
        <v>39</v>
      </c>
    </row>
    <row r="34" spans="1:1" x14ac:dyDescent="0.3">
      <c r="A34" s="10" t="s">
        <v>40</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4" x14ac:dyDescent="0.3"/>
  <cols>
    <col min="1" max="1" width="16" customWidth="1"/>
    <col min="2" max="2" width="100" customWidth="1"/>
  </cols>
  <sheetData>
    <row r="1" spans="1:2" ht="23.4" x14ac:dyDescent="0.45">
      <c r="A1" s="8" t="s">
        <v>17</v>
      </c>
      <c r="B1" s="6"/>
    </row>
    <row r="3" spans="1:2" x14ac:dyDescent="0.3">
      <c r="A3" s="2" t="s">
        <v>18</v>
      </c>
      <c r="B3" s="2" t="s">
        <v>19</v>
      </c>
    </row>
    <row r="4" spans="1:2" x14ac:dyDescent="0.3">
      <c r="A4" t="s">
        <v>20</v>
      </c>
      <c r="B4" t="s">
        <v>21</v>
      </c>
    </row>
    <row r="5" spans="1:2" x14ac:dyDescent="0.3">
      <c r="A5" t="s">
        <v>22</v>
      </c>
      <c r="B5" t="s">
        <v>23</v>
      </c>
    </row>
    <row r="6" spans="1:2" x14ac:dyDescent="0.3">
      <c r="A6" t="s">
        <v>24</v>
      </c>
      <c r="B6" t="s">
        <v>25</v>
      </c>
    </row>
    <row r="7" spans="1:2" x14ac:dyDescent="0.3">
      <c r="A7" t="s">
        <v>26</v>
      </c>
      <c r="B7" t="s">
        <v>27</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Summary Statistics</vt:lpstr>
      <vt:lpstr>Interpretation</vt:lpstr>
      <vt:lpstr>Start Here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Raspreet Kaur</cp:lastModifiedBy>
  <dcterms:created xsi:type="dcterms:W3CDTF">2026-10-18T14:25:43Z</dcterms:created>
  <dcterms:modified xsi:type="dcterms:W3CDTF">2026-10-18T14:45:07Z</dcterms:modified>
</cp:coreProperties>
</file>